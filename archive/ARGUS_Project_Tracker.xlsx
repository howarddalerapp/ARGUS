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chedule" sheetId="2" state="visible" r:id="rId4"/>
    <sheet name="Equipment" sheetId="3" state="visible" r:id="rId5"/>
    <sheet name="Open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<sst xmlns="http://schemas.openxmlformats.org/spreadsheetml/2006/main" count="357" uniqueCount="172">
  <si>
    <t xml:space="preserve">Phase</t>
  </si>
  <si>
    <t xml:space="preserve">Item</t>
  </si>
  <si>
    <t xml:space="preserve">Model / SKU</t>
  </si>
  <si>
    <t xml:space="preserve">Qty</t>
  </si>
  <si>
    <t xml:space="preserve">Unit Cost</t>
  </si>
  <si>
    <t xml:space="preserve">Extended Cost</t>
  </si>
  <si>
    <t xml:space="preserve">Notes</t>
  </si>
  <si>
    <t xml:space="preserve">1</t>
  </si>
  <si>
    <t xml:space="preserve">UniFi Cloud Gateway Ultra</t>
  </si>
  <si>
    <t xml:space="preserve">UCG-Ultra</t>
  </si>
  <si>
    <t xml:space="preserve">Network controller + gateway</t>
  </si>
  <si>
    <t xml:space="preserve">UniFi U6 Pro Access Point (x2)</t>
  </si>
  <si>
    <t xml:space="preserve">U6-Pro</t>
  </si>
  <si>
    <t xml:space="preserve">Clubhouse WiFi coverage</t>
  </si>
  <si>
    <t xml:space="preserve">UniFi 16-port PoE Switch</t>
  </si>
  <si>
    <t xml:space="preserve">USW-Pro-16-PoE</t>
  </si>
  <si>
    <t xml:space="preserve">Powers cameras and APs</t>
  </si>
  <si>
    <t xml:space="preserve">UniFi G5 Dome Camera (x4)</t>
  </si>
  <si>
    <t xml:space="preserve">UVC-G5-Dome</t>
  </si>
  <si>
    <t xml:space="preserve">Indoor / covered outdoor</t>
  </si>
  <si>
    <t xml:space="preserve">UniFi G5 Bullet Camera (x2)</t>
  </si>
  <si>
    <t xml:space="preserve">UVC-G5-Bullet</t>
  </si>
  <si>
    <t xml:space="preserve">Exterior wide coverage</t>
  </si>
  <si>
    <t xml:space="preserve">WOW Fiber Termination</t>
  </si>
  <si>
    <t xml:space="preserve">N/A</t>
  </si>
  <si>
    <t xml:space="preserve">No cost per community agreement</t>
  </si>
  <si>
    <t xml:space="preserve">Cable, conduit, mounting hardware</t>
  </si>
  <si>
    <t xml:space="preserve">—</t>
  </si>
  <si>
    <t xml:space="preserve">Phase 1 consumables estimate</t>
  </si>
  <si>
    <t xml:space="preserve">Phase 1 Subtotal</t>
  </si>
  <si>
    <t xml:space="preserve">2</t>
  </si>
  <si>
    <t xml:space="preserve">UniFi Access Reader Pro (x2)</t>
  </si>
  <si>
    <t xml:space="preserve">UA-Reader-Pro</t>
  </si>
  <si>
    <t xml:space="preserve">Clubhouse door entry/exit</t>
  </si>
  <si>
    <t xml:space="preserve">UniFi Access Hub</t>
  </si>
  <si>
    <t xml:space="preserve">UA-Hub</t>
  </si>
  <si>
    <t xml:space="preserve">Access control controller</t>
  </si>
  <si>
    <t xml:space="preserve">UniFi G5 Dome Camera (x3)</t>
  </si>
  <si>
    <t xml:space="preserve">Pool area coverage</t>
  </si>
  <si>
    <t xml:space="preserve">UniFi AI Theta Pro Intercom</t>
  </si>
  <si>
    <t xml:space="preserve">UAIP-Theta-Pro</t>
  </si>
  <si>
    <t xml:space="preserve">Clubhouse visitor intercom</t>
  </si>
  <si>
    <t xml:space="preserve">Phase 2 consumables estimate</t>
  </si>
  <si>
    <t xml:space="preserve">Phase 2 Subtotal</t>
  </si>
  <si>
    <t xml:space="preserve">3</t>
  </si>
  <si>
    <t xml:space="preserve">Front and rear gate readers</t>
  </si>
  <si>
    <t xml:space="preserve">UniFi Building Bridge (pair)</t>
  </si>
  <si>
    <t xml:space="preserve">UBB</t>
  </si>
  <si>
    <t xml:space="preserve">Wireless bridge for gate networks (pending LOS check)</t>
  </si>
  <si>
    <t xml:space="preserve">UniFi Gate Controller</t>
  </si>
  <si>
    <t xml:space="preserve">UA-Gate</t>
  </si>
  <si>
    <t xml:space="preserve">Front and rear gate controllers</t>
  </si>
  <si>
    <t xml:space="preserve">Cable, conduit, hardware</t>
  </si>
  <si>
    <t xml:space="preserve">Phase 3 consumables estimate</t>
  </si>
  <si>
    <t xml:space="preserve">Phase 3 Subtotal</t>
  </si>
  <si>
    <t xml:space="preserve">TOTAL (excl. SC sales tax)</t>
  </si>
  <si>
    <t xml:space="preserve">Task</t>
  </si>
  <si>
    <t xml:space="preserve">Owner</t>
  </si>
  <si>
    <t xml:space="preserve">Start Window</t>
  </si>
  <si>
    <t xml:space="preserve">End Window</t>
  </si>
  <si>
    <t xml:space="preserve">Status</t>
  </si>
  <si>
    <t xml:space="preserve">Pre</t>
  </si>
  <si>
    <t xml:space="preserve">Board approval of ARGUS budget</t>
  </si>
  <si>
    <t xml:space="preserve">Howard</t>
  </si>
  <si>
    <t xml:space="preserve">June 2026</t>
  </si>
  <si>
    <t xml:space="preserve">Pending</t>
  </si>
  <si>
    <t xml:space="preserve">Required before ordering</t>
  </si>
  <si>
    <t xml:space="preserve">Equipment ordering</t>
  </si>
  <si>
    <t xml:space="preserve">Order after board vote</t>
  </si>
  <si>
    <t xml:space="preserve">WOW fiber scheduling with Rico Pruitt</t>
  </si>
  <si>
    <t xml:space="preserve">July 2026</t>
  </si>
  <si>
    <t xml:space="preserve">Confirm activation date</t>
  </si>
  <si>
    <t xml:space="preserve">Line-of-sight site walk (Phase 3 UBB bridges)</t>
  </si>
  <si>
    <t xml:space="preserve">Gates may need alternative cabling</t>
  </si>
  <si>
    <t xml:space="preserve">CPS contract termination notice</t>
  </si>
  <si>
    <t xml:space="preserve">Howard / GHS</t>
  </si>
  <si>
    <t xml:space="preserve">TBD</t>
  </si>
  <si>
    <t xml:space="preserve">Confirm notice period</t>
  </si>
  <si>
    <t xml:space="preserve">TRAVEL (no work)</t>
  </si>
  <si>
    <t xml:space="preserve">Jul 1, 2026</t>
  </si>
  <si>
    <t xml:space="preserve">Jul 31, 2026</t>
  </si>
  <si>
    <t xml:space="preserve">BLOCKED</t>
  </si>
  <si>
    <t xml:space="preserve">Howard away</t>
  </si>
  <si>
    <t xml:space="preserve">UniFi controller + switch installation</t>
  </si>
  <si>
    <t xml:space="preserve">Aug 1</t>
  </si>
  <si>
    <t xml:space="preserve">Aug 5</t>
  </si>
  <si>
    <t xml:space="preserve">WOW fiber termination at clubhouse</t>
  </si>
  <si>
    <t xml:space="preserve">Howard / Rico</t>
  </si>
  <si>
    <t xml:space="preserve">Camera mounting and cabling</t>
  </si>
  <si>
    <t xml:space="preserve">Aug 10</t>
  </si>
  <si>
    <t xml:space="preserve">WiFi AP installation and tuning</t>
  </si>
  <si>
    <t xml:space="preserve">Aug 12</t>
  </si>
  <si>
    <t xml:space="preserve">Phase 1 testing and acceptance</t>
  </si>
  <si>
    <t xml:space="preserve">Aug 14</t>
  </si>
  <si>
    <t xml:space="preserve">Pool camera installation</t>
  </si>
  <si>
    <t xml:space="preserve">Aug 15</t>
  </si>
  <si>
    <t xml:space="preserve">Aug 20</t>
  </si>
  <si>
    <t xml:space="preserve">Door access control (readers, hub)</t>
  </si>
  <si>
    <t xml:space="preserve">Aug 25</t>
  </si>
  <si>
    <t xml:space="preserve">Intercom installation</t>
  </si>
  <si>
    <t xml:space="preserve">Aug 28</t>
  </si>
  <si>
    <t xml:space="preserve">Phase 2 testing and acceptance</t>
  </si>
  <si>
    <t xml:space="preserve">Aug 31</t>
  </si>
  <si>
    <t xml:space="preserve">Gate controller installation</t>
  </si>
  <si>
    <t xml:space="preserve">Sep 1</t>
  </si>
  <si>
    <t xml:space="preserve">Sep 10</t>
  </si>
  <si>
    <t xml:space="preserve">Pending LOS feasibility</t>
  </si>
  <si>
    <t xml:space="preserve">UBB wireless bridge or cabling</t>
  </si>
  <si>
    <t xml:space="preserve">Depends on site walk result</t>
  </si>
  <si>
    <t xml:space="preserve">Luke Burke review (data handling)</t>
  </si>
  <si>
    <t xml:space="preserve">Howard / Luke</t>
  </si>
  <si>
    <t xml:space="preserve">Before go-live</t>
  </si>
  <si>
    <t xml:space="preserve">Required for Phase 3</t>
  </si>
  <si>
    <t xml:space="preserve">Phase 3 testing and acceptance</t>
  </si>
  <si>
    <t xml:space="preserve">Sep 20</t>
  </si>
  <si>
    <t xml:space="preserve">All</t>
  </si>
  <si>
    <t xml:space="preserve">GHS access credentials delivered</t>
  </si>
  <si>
    <t xml:space="preserve">Post P1</t>
  </si>
  <si>
    <t xml:space="preserve">Admin login for Sharon/Kevin</t>
  </si>
  <si>
    <t xml:space="preserve">CPS contract terminated</t>
  </si>
  <si>
    <t xml:space="preserve">Post P3</t>
  </si>
  <si>
    <t xml:space="preserve">Confirm final termination</t>
  </si>
  <si>
    <t xml:space="preserve">Model</t>
  </si>
  <si>
    <t xml:space="preserve">Total</t>
  </si>
  <si>
    <t xml:space="preserve">Ordered?</t>
  </si>
  <si>
    <t xml:space="preserve">Received?</t>
  </si>
  <si>
    <t xml:space="preserve">Location</t>
  </si>
  <si>
    <t xml:space="preserve">No</t>
  </si>
  <si>
    <t xml:space="preserve">Clubhouse closet</t>
  </si>
  <si>
    <t xml:space="preserve">UniFi U6 Pro Access Point</t>
  </si>
  <si>
    <t xml:space="preserve">Clubhouse ceiling</t>
  </si>
  <si>
    <t xml:space="preserve">UniFi G5 Dome Camera</t>
  </si>
  <si>
    <t xml:space="preserve">Clubhouse interior/entry</t>
  </si>
  <si>
    <t xml:space="preserve">UniFi G5 Bullet Camera</t>
  </si>
  <si>
    <t xml:space="preserve">Exterior clubhouse</t>
  </si>
  <si>
    <t xml:space="preserve">UniFi Access Reader Pro</t>
  </si>
  <si>
    <t xml:space="preserve">Clubhouse doors</t>
  </si>
  <si>
    <t xml:space="preserve">Pool area</t>
  </si>
  <si>
    <t xml:space="preserve">Clubhouse entry</t>
  </si>
  <si>
    <t xml:space="preserve">Front/rear gates</t>
  </si>
  <si>
    <t xml:space="preserve">Gate network (LOS req.)</t>
  </si>
  <si>
    <t xml:space="preserve">Front and rear gates</t>
  </si>
  <si>
    <t xml:space="preserve">TOTAL</t>
  </si>
  <si>
    <t xml:space="preserve">#</t>
  </si>
  <si>
    <t xml:space="preserve">Due / Target</t>
  </si>
  <si>
    <t xml:space="preserve">Board vote to approve full ARGUS budget</t>
  </si>
  <si>
    <t xml:space="preserve">Open</t>
  </si>
  <si>
    <t xml:space="preserve">Required before equipment order</t>
  </si>
  <si>
    <t xml:space="preserve">WOW fiber activation scheduling with Rico Pruitt</t>
  </si>
  <si>
    <t xml:space="preserve">Community agreement in place</t>
  </si>
  <si>
    <t xml:space="preserve">Confirm CPS annual contract cost</t>
  </si>
  <si>
    <t xml:space="preserve">GHS</t>
  </si>
  <si>
    <t xml:space="preserve">Howard to request from Sharon</t>
  </si>
  <si>
    <t xml:space="preserve">CPS contract termination notice period</t>
  </si>
  <si>
    <t xml:space="preserve">Confirm required notice window</t>
  </si>
  <si>
    <t xml:space="preserve">Line-of-sight site walk for Phase 3 UBB bridges</t>
  </si>
  <si>
    <t xml:space="preserve">Pre-install</t>
  </si>
  <si>
    <t xml:space="preserve">Gates may need direct cabling instead</t>
  </si>
  <si>
    <t xml:space="preserve">Luke Burke review of resident/vehicle data handling</t>
  </si>
  <si>
    <t xml:space="preserve">Howard / Luke Burke</t>
  </si>
  <si>
    <t xml:space="preserve">Pre-Phase 3</t>
  </si>
  <si>
    <t xml:space="preserve">Disclosure and liability review required</t>
  </si>
  <si>
    <t xml:space="preserve">GHS admin credentials setup in UniFi</t>
  </si>
  <si>
    <t xml:space="preserve">Post Phase 1</t>
  </si>
  <si>
    <t xml:space="preserve">Sharon and Kevin Bragman</t>
  </si>
  <si>
    <t xml:space="preserve">Board viewer access in UniFi</t>
  </si>
  <si>
    <t xml:space="preserve">All five board members</t>
  </si>
  <si>
    <t xml:space="preserve">CPS contract termination and final billing</t>
  </si>
  <si>
    <t xml:space="preserve">Post Phase 3</t>
  </si>
  <si>
    <t xml:space="preserve">Confirm termination process</t>
  </si>
  <si>
    <t xml:space="preserve">Documentation and as-built notes</t>
  </si>
  <si>
    <t xml:space="preserve">Store in ARGUS folder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</si>
</sst>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FFFF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5E8F0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2" t="n">
        <v>1</v>
      </c>
      <c r="E2" s="4" t="n">
        <v>109</v>
      </c>
      <c r="F2" s="4" t="n">
        <f aca="false">D2*E2</f>
        <v>109</v>
      </c>
      <c r="G2" s="5" t="s">
        <v>10</v>
      </c>
    </row>
    <row r="3" customFormat="false" ht="15" hidden="false" customHeight="false" outlineLevel="0" collapsed="false">
      <c r="A3" s="2" t="s">
        <v>7</v>
      </c>
      <c r="B3" s="3" t="s">
        <v>11</v>
      </c>
      <c r="C3" s="3" t="s">
        <v>12</v>
      </c>
      <c r="D3" s="2" t="n">
        <v>2</v>
      </c>
      <c r="E3" s="4" t="n">
        <v>149</v>
      </c>
      <c r="F3" s="4" t="n">
        <f aca="false">D3*E3</f>
        <v>298</v>
      </c>
      <c r="G3" s="5" t="s">
        <v>13</v>
      </c>
    </row>
    <row r="4" customFormat="false" ht="15" hidden="false" customHeight="false" outlineLevel="0" collapsed="false">
      <c r="A4" s="2" t="s">
        <v>7</v>
      </c>
      <c r="B4" s="3" t="s">
        <v>14</v>
      </c>
      <c r="C4" s="3" t="s">
        <v>15</v>
      </c>
      <c r="D4" s="2" t="n">
        <v>1</v>
      </c>
      <c r="E4" s="4" t="n">
        <v>299</v>
      </c>
      <c r="F4" s="4" t="n">
        <f aca="false">D4*E4</f>
        <v>299</v>
      </c>
      <c r="G4" s="5" t="s">
        <v>16</v>
      </c>
    </row>
    <row r="5" customFormat="false" ht="15" hidden="false" customHeight="false" outlineLevel="0" collapsed="false">
      <c r="A5" s="2" t="s">
        <v>7</v>
      </c>
      <c r="B5" s="3" t="s">
        <v>17</v>
      </c>
      <c r="C5" s="3" t="s">
        <v>18</v>
      </c>
      <c r="D5" s="2" t="n">
        <v>4</v>
      </c>
      <c r="E5" s="4" t="n">
        <v>149</v>
      </c>
      <c r="F5" s="4" t="n">
        <f aca="false">D5*E5</f>
        <v>596</v>
      </c>
      <c r="G5" s="5" t="s">
        <v>19</v>
      </c>
    </row>
    <row r="6" customFormat="false" ht="15" hidden="false" customHeight="false" outlineLevel="0" collapsed="false">
      <c r="A6" s="2" t="s">
        <v>7</v>
      </c>
      <c r="B6" s="3" t="s">
        <v>20</v>
      </c>
      <c r="C6" s="3" t="s">
        <v>21</v>
      </c>
      <c r="D6" s="2" t="n">
        <v>2</v>
      </c>
      <c r="E6" s="4" t="n">
        <v>119</v>
      </c>
      <c r="F6" s="4" t="n">
        <f aca="false">D6*E6</f>
        <v>238</v>
      </c>
      <c r="G6" s="5" t="s">
        <v>22</v>
      </c>
    </row>
    <row r="7" customFormat="false" ht="15" hidden="false" customHeight="false" outlineLevel="0" collapsed="false">
      <c r="A7" s="2" t="s">
        <v>7</v>
      </c>
      <c r="B7" s="3" t="s">
        <v>23</v>
      </c>
      <c r="C7" s="3" t="s">
        <v>24</v>
      </c>
      <c r="D7" s="2" t="n">
        <v>1</v>
      </c>
      <c r="E7" s="4" t="n">
        <v>0</v>
      </c>
      <c r="F7" s="4" t="n">
        <f aca="false">D7*E7</f>
        <v>0</v>
      </c>
      <c r="G7" s="5" t="s">
        <v>25</v>
      </c>
    </row>
    <row r="8" customFormat="false" ht="15" hidden="false" customHeight="false" outlineLevel="0" collapsed="false">
      <c r="A8" s="2" t="s">
        <v>7</v>
      </c>
      <c r="B8" s="3" t="s">
        <v>26</v>
      </c>
      <c r="C8" s="3" t="s">
        <v>27</v>
      </c>
      <c r="D8" s="2" t="n">
        <v>1</v>
      </c>
      <c r="E8" s="4" t="n">
        <v>250</v>
      </c>
      <c r="F8" s="4" t="n">
        <f aca="false">D8*E8</f>
        <v>250</v>
      </c>
      <c r="G8" s="5" t="s">
        <v>28</v>
      </c>
    </row>
    <row r="9" customFormat="false" ht="15" hidden="false" customHeight="false" outlineLevel="0" collapsed="false">
      <c r="A9" s="6"/>
      <c r="B9" s="6" t="s">
        <v>29</v>
      </c>
      <c r="C9" s="6"/>
      <c r="D9" s="6"/>
      <c r="E9" s="6"/>
      <c r="F9" s="7" t="n">
        <f aca="false">SUMIF(A2:A50,"1",F2:F50)</f>
        <v>1790</v>
      </c>
      <c r="G9" s="6"/>
    </row>
    <row r="10" customFormat="false" ht="15" hidden="false" customHeight="false" outlineLevel="0" collapsed="false">
      <c r="A10" s="8" t="s">
        <v>30</v>
      </c>
      <c r="B10" s="9" t="s">
        <v>31</v>
      </c>
      <c r="C10" s="9" t="s">
        <v>32</v>
      </c>
      <c r="D10" s="8" t="n">
        <v>2</v>
      </c>
      <c r="E10" s="10" t="n">
        <v>149</v>
      </c>
      <c r="F10" s="10" t="n">
        <f aca="false">D10*E10</f>
        <v>298</v>
      </c>
      <c r="G10" s="11" t="s">
        <v>33</v>
      </c>
    </row>
    <row r="11" customFormat="false" ht="15" hidden="false" customHeight="false" outlineLevel="0" collapsed="false">
      <c r="A11" s="8" t="s">
        <v>30</v>
      </c>
      <c r="B11" s="9" t="s">
        <v>34</v>
      </c>
      <c r="C11" s="9" t="s">
        <v>35</v>
      </c>
      <c r="D11" s="8" t="n">
        <v>1</v>
      </c>
      <c r="E11" s="10" t="n">
        <v>99</v>
      </c>
      <c r="F11" s="10" t="n">
        <f aca="false">D11*E11</f>
        <v>99</v>
      </c>
      <c r="G11" s="11" t="s">
        <v>36</v>
      </c>
    </row>
    <row r="12" customFormat="false" ht="15" hidden="false" customHeight="false" outlineLevel="0" collapsed="false">
      <c r="A12" s="8" t="s">
        <v>30</v>
      </c>
      <c r="B12" s="9" t="s">
        <v>37</v>
      </c>
      <c r="C12" s="9" t="s">
        <v>18</v>
      </c>
      <c r="D12" s="8" t="n">
        <v>3</v>
      </c>
      <c r="E12" s="10" t="n">
        <v>149</v>
      </c>
      <c r="F12" s="10" t="n">
        <f aca="false">D12*E12</f>
        <v>447</v>
      </c>
      <c r="G12" s="11" t="s">
        <v>38</v>
      </c>
    </row>
    <row r="13" customFormat="false" ht="15" hidden="false" customHeight="false" outlineLevel="0" collapsed="false">
      <c r="A13" s="8" t="s">
        <v>30</v>
      </c>
      <c r="B13" s="9" t="s">
        <v>39</v>
      </c>
      <c r="C13" s="9" t="s">
        <v>40</v>
      </c>
      <c r="D13" s="8" t="n">
        <v>1</v>
      </c>
      <c r="E13" s="10" t="n">
        <v>299</v>
      </c>
      <c r="F13" s="10" t="n">
        <f aca="false">D13*E13</f>
        <v>299</v>
      </c>
      <c r="G13" s="11" t="s">
        <v>41</v>
      </c>
    </row>
    <row r="14" customFormat="false" ht="15" hidden="false" customHeight="false" outlineLevel="0" collapsed="false">
      <c r="A14" s="8" t="s">
        <v>30</v>
      </c>
      <c r="B14" s="9" t="s">
        <v>26</v>
      </c>
      <c r="C14" s="9" t="s">
        <v>27</v>
      </c>
      <c r="D14" s="8" t="n">
        <v>1</v>
      </c>
      <c r="E14" s="10" t="n">
        <v>200</v>
      </c>
      <c r="F14" s="10" t="n">
        <f aca="false">D14*E14</f>
        <v>200</v>
      </c>
      <c r="G14" s="11" t="s">
        <v>42</v>
      </c>
    </row>
    <row r="15" customFormat="false" ht="15" hidden="false" customHeight="false" outlineLevel="0" collapsed="false">
      <c r="A15" s="6"/>
      <c r="B15" s="6" t="s">
        <v>43</v>
      </c>
      <c r="C15" s="6"/>
      <c r="D15" s="6"/>
      <c r="E15" s="6"/>
      <c r="F15" s="7" t="n">
        <f aca="false">SUMIF(A2:A50,"2",F2:F50)</f>
        <v>1343</v>
      </c>
      <c r="G15" s="6"/>
    </row>
    <row r="16" customFormat="false" ht="15" hidden="false" customHeight="false" outlineLevel="0" collapsed="false">
      <c r="A16" s="2" t="s">
        <v>44</v>
      </c>
      <c r="B16" s="3" t="s">
        <v>31</v>
      </c>
      <c r="C16" s="3" t="s">
        <v>32</v>
      </c>
      <c r="D16" s="2" t="n">
        <v>2</v>
      </c>
      <c r="E16" s="4" t="n">
        <v>149</v>
      </c>
      <c r="F16" s="4" t="n">
        <f aca="false">D16*E16</f>
        <v>298</v>
      </c>
      <c r="G16" s="5" t="s">
        <v>45</v>
      </c>
    </row>
    <row r="17" customFormat="false" ht="23.85" hidden="false" customHeight="false" outlineLevel="0" collapsed="false">
      <c r="A17" s="2" t="s">
        <v>44</v>
      </c>
      <c r="B17" s="3" t="s">
        <v>46</v>
      </c>
      <c r="C17" s="3" t="s">
        <v>47</v>
      </c>
      <c r="D17" s="2" t="n">
        <v>1</v>
      </c>
      <c r="E17" s="4" t="n">
        <v>499</v>
      </c>
      <c r="F17" s="4" t="n">
        <f aca="false">D17*E17</f>
        <v>499</v>
      </c>
      <c r="G17" s="5" t="s">
        <v>48</v>
      </c>
    </row>
    <row r="18" customFormat="false" ht="15" hidden="false" customHeight="false" outlineLevel="0" collapsed="false">
      <c r="A18" s="2" t="s">
        <v>44</v>
      </c>
      <c r="B18" s="3" t="s">
        <v>49</v>
      </c>
      <c r="C18" s="3" t="s">
        <v>50</v>
      </c>
      <c r="D18" s="2" t="n">
        <v>2</v>
      </c>
      <c r="E18" s="4" t="n">
        <v>299</v>
      </c>
      <c r="F18" s="4" t="n">
        <f aca="false">D18*E18</f>
        <v>598</v>
      </c>
      <c r="G18" s="5" t="s">
        <v>51</v>
      </c>
    </row>
    <row r="19" customFormat="false" ht="15" hidden="false" customHeight="false" outlineLevel="0" collapsed="false">
      <c r="A19" s="2" t="s">
        <v>44</v>
      </c>
      <c r="B19" s="3" t="s">
        <v>52</v>
      </c>
      <c r="C19" s="3" t="s">
        <v>27</v>
      </c>
      <c r="D19" s="2" t="n">
        <v>1</v>
      </c>
      <c r="E19" s="4" t="n">
        <v>165</v>
      </c>
      <c r="F19" s="4" t="n">
        <f aca="false">D19*E19</f>
        <v>165</v>
      </c>
      <c r="G19" s="5" t="s">
        <v>53</v>
      </c>
    </row>
    <row r="20" customFormat="false" ht="15" hidden="false" customHeight="false" outlineLevel="0" collapsed="false">
      <c r="A20" s="6"/>
      <c r="B20" s="6" t="s">
        <v>54</v>
      </c>
      <c r="C20" s="6"/>
      <c r="D20" s="6"/>
      <c r="E20" s="6"/>
      <c r="F20" s="7" t="n">
        <f aca="false">SUMIF(A2:A50,"3",F2:F50)</f>
        <v>1560</v>
      </c>
      <c r="G20" s="6"/>
    </row>
    <row r="21" customFormat="false" ht="18" hidden="false" customHeight="true" outlineLevel="0" collapsed="false">
      <c r="A21" s="12"/>
      <c r="B21" s="12" t="s">
        <v>55</v>
      </c>
      <c r="C21" s="12"/>
      <c r="D21" s="12"/>
      <c r="E21" s="12"/>
      <c r="F21" s="13" t="n">
        <f aca="false">F9+F15+F20</f>
        <v>4693</v>
      </c>
      <c r="G2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</v>
      </c>
    </row>
    <row r="2" customFormat="false" ht="15" hidden="false" customHeight="false" outlineLevel="0" collapsed="false">
      <c r="A2" s="14" t="s">
        <v>61</v>
      </c>
      <c r="B2" s="15" t="s">
        <v>62</v>
      </c>
      <c r="C2" s="16" t="s">
        <v>63</v>
      </c>
      <c r="D2" s="14" t="s">
        <v>64</v>
      </c>
      <c r="E2" s="14" t="s">
        <v>64</v>
      </c>
      <c r="F2" s="14" t="s">
        <v>65</v>
      </c>
      <c r="G2" s="15" t="s">
        <v>66</v>
      </c>
    </row>
    <row r="3" customFormat="false" ht="15" hidden="false" customHeight="false" outlineLevel="0" collapsed="false">
      <c r="A3" s="17" t="s">
        <v>61</v>
      </c>
      <c r="B3" s="18" t="s">
        <v>67</v>
      </c>
      <c r="C3" s="19" t="s">
        <v>63</v>
      </c>
      <c r="D3" s="17" t="s">
        <v>64</v>
      </c>
      <c r="E3" s="17" t="s">
        <v>64</v>
      </c>
      <c r="F3" s="17" t="s">
        <v>65</v>
      </c>
      <c r="G3" s="18" t="s">
        <v>68</v>
      </c>
    </row>
    <row r="4" customFormat="false" ht="15" hidden="false" customHeight="false" outlineLevel="0" collapsed="false">
      <c r="A4" s="14" t="s">
        <v>61</v>
      </c>
      <c r="B4" s="15" t="s">
        <v>69</v>
      </c>
      <c r="C4" s="16" t="s">
        <v>63</v>
      </c>
      <c r="D4" s="14" t="s">
        <v>64</v>
      </c>
      <c r="E4" s="14" t="s">
        <v>70</v>
      </c>
      <c r="F4" s="14" t="s">
        <v>65</v>
      </c>
      <c r="G4" s="15" t="s">
        <v>71</v>
      </c>
    </row>
    <row r="5" customFormat="false" ht="15" hidden="false" customHeight="false" outlineLevel="0" collapsed="false">
      <c r="A5" s="17" t="s">
        <v>61</v>
      </c>
      <c r="B5" s="18" t="s">
        <v>72</v>
      </c>
      <c r="C5" s="19" t="s">
        <v>63</v>
      </c>
      <c r="D5" s="17" t="s">
        <v>64</v>
      </c>
      <c r="E5" s="17" t="s">
        <v>70</v>
      </c>
      <c r="F5" s="17" t="s">
        <v>65</v>
      </c>
      <c r="G5" s="18" t="s">
        <v>73</v>
      </c>
    </row>
    <row r="6" customFormat="false" ht="15" hidden="false" customHeight="false" outlineLevel="0" collapsed="false">
      <c r="A6" s="14" t="s">
        <v>61</v>
      </c>
      <c r="B6" s="15" t="s">
        <v>74</v>
      </c>
      <c r="C6" s="16" t="s">
        <v>75</v>
      </c>
      <c r="D6" s="14" t="s">
        <v>64</v>
      </c>
      <c r="E6" s="14" t="s">
        <v>76</v>
      </c>
      <c r="F6" s="14" t="s">
        <v>65</v>
      </c>
      <c r="G6" s="15" t="s">
        <v>77</v>
      </c>
    </row>
    <row r="7" customFormat="false" ht="15" hidden="false" customHeight="false" outlineLevel="0" collapsed="false">
      <c r="A7" s="20" t="s">
        <v>27</v>
      </c>
      <c r="B7" s="21" t="s">
        <v>78</v>
      </c>
      <c r="C7" s="22" t="s">
        <v>27</v>
      </c>
      <c r="D7" s="20" t="s">
        <v>79</v>
      </c>
      <c r="E7" s="20" t="s">
        <v>80</v>
      </c>
      <c r="F7" s="20" t="s">
        <v>81</v>
      </c>
      <c r="G7" s="21" t="s">
        <v>82</v>
      </c>
    </row>
    <row r="8" customFormat="false" ht="15" hidden="false" customHeight="false" outlineLevel="0" collapsed="false">
      <c r="A8" s="14" t="s">
        <v>7</v>
      </c>
      <c r="B8" s="15" t="s">
        <v>83</v>
      </c>
      <c r="C8" s="16" t="s">
        <v>63</v>
      </c>
      <c r="D8" s="14" t="s">
        <v>84</v>
      </c>
      <c r="E8" s="14" t="s">
        <v>85</v>
      </c>
      <c r="F8" s="14" t="s">
        <v>65</v>
      </c>
      <c r="G8" s="15"/>
    </row>
    <row r="9" customFormat="false" ht="15" hidden="false" customHeight="false" outlineLevel="0" collapsed="false">
      <c r="A9" s="17" t="s">
        <v>7</v>
      </c>
      <c r="B9" s="18" t="s">
        <v>86</v>
      </c>
      <c r="C9" s="19" t="s">
        <v>87</v>
      </c>
      <c r="D9" s="17" t="s">
        <v>84</v>
      </c>
      <c r="E9" s="17" t="s">
        <v>85</v>
      </c>
      <c r="F9" s="17" t="s">
        <v>65</v>
      </c>
      <c r="G9" s="18"/>
    </row>
    <row r="10" customFormat="false" ht="15" hidden="false" customHeight="false" outlineLevel="0" collapsed="false">
      <c r="A10" s="14" t="s">
        <v>7</v>
      </c>
      <c r="B10" s="15" t="s">
        <v>88</v>
      </c>
      <c r="C10" s="16" t="s">
        <v>63</v>
      </c>
      <c r="D10" s="14" t="s">
        <v>85</v>
      </c>
      <c r="E10" s="14" t="s">
        <v>89</v>
      </c>
      <c r="F10" s="14" t="s">
        <v>65</v>
      </c>
      <c r="G10" s="15"/>
    </row>
    <row r="11" customFormat="false" ht="15" hidden="false" customHeight="false" outlineLevel="0" collapsed="false">
      <c r="A11" s="17" t="s">
        <v>7</v>
      </c>
      <c r="B11" s="18" t="s">
        <v>90</v>
      </c>
      <c r="C11" s="19" t="s">
        <v>63</v>
      </c>
      <c r="D11" s="17" t="s">
        <v>89</v>
      </c>
      <c r="E11" s="17" t="s">
        <v>91</v>
      </c>
      <c r="F11" s="17" t="s">
        <v>65</v>
      </c>
      <c r="G11" s="18"/>
    </row>
    <row r="12" customFormat="false" ht="15" hidden="false" customHeight="false" outlineLevel="0" collapsed="false">
      <c r="A12" s="14" t="s">
        <v>7</v>
      </c>
      <c r="B12" s="15" t="s">
        <v>92</v>
      </c>
      <c r="C12" s="16" t="s">
        <v>63</v>
      </c>
      <c r="D12" s="14" t="s">
        <v>91</v>
      </c>
      <c r="E12" s="14" t="s">
        <v>93</v>
      </c>
      <c r="F12" s="14" t="s">
        <v>65</v>
      </c>
      <c r="G12" s="15"/>
    </row>
    <row r="13" customFormat="false" ht="15" hidden="false" customHeight="false" outlineLevel="0" collapsed="false">
      <c r="A13" s="17" t="s">
        <v>30</v>
      </c>
      <c r="B13" s="18" t="s">
        <v>94</v>
      </c>
      <c r="C13" s="19" t="s">
        <v>63</v>
      </c>
      <c r="D13" s="17" t="s">
        <v>95</v>
      </c>
      <c r="E13" s="17" t="s">
        <v>96</v>
      </c>
      <c r="F13" s="17" t="s">
        <v>65</v>
      </c>
      <c r="G13" s="18"/>
    </row>
    <row r="14" customFormat="false" ht="15" hidden="false" customHeight="false" outlineLevel="0" collapsed="false">
      <c r="A14" s="14" t="s">
        <v>30</v>
      </c>
      <c r="B14" s="15" t="s">
        <v>97</v>
      </c>
      <c r="C14" s="16" t="s">
        <v>63</v>
      </c>
      <c r="D14" s="14" t="s">
        <v>96</v>
      </c>
      <c r="E14" s="14" t="s">
        <v>98</v>
      </c>
      <c r="F14" s="14" t="s">
        <v>65</v>
      </c>
      <c r="G14" s="15"/>
    </row>
    <row r="15" customFormat="false" ht="15" hidden="false" customHeight="false" outlineLevel="0" collapsed="false">
      <c r="A15" s="17" t="s">
        <v>30</v>
      </c>
      <c r="B15" s="18" t="s">
        <v>99</v>
      </c>
      <c r="C15" s="19" t="s">
        <v>63</v>
      </c>
      <c r="D15" s="17" t="s">
        <v>98</v>
      </c>
      <c r="E15" s="17" t="s">
        <v>100</v>
      </c>
      <c r="F15" s="17" t="s">
        <v>65</v>
      </c>
      <c r="G15" s="18"/>
    </row>
    <row r="16" customFormat="false" ht="15" hidden="false" customHeight="false" outlineLevel="0" collapsed="false">
      <c r="A16" s="14" t="s">
        <v>30</v>
      </c>
      <c r="B16" s="15" t="s">
        <v>101</v>
      </c>
      <c r="C16" s="16" t="s">
        <v>63</v>
      </c>
      <c r="D16" s="14" t="s">
        <v>100</v>
      </c>
      <c r="E16" s="14" t="s">
        <v>102</v>
      </c>
      <c r="F16" s="14" t="s">
        <v>65</v>
      </c>
      <c r="G16" s="15"/>
    </row>
    <row r="17" customFormat="false" ht="15" hidden="false" customHeight="false" outlineLevel="0" collapsed="false">
      <c r="A17" s="17" t="s">
        <v>44</v>
      </c>
      <c r="B17" s="18" t="s">
        <v>103</v>
      </c>
      <c r="C17" s="19" t="s">
        <v>63</v>
      </c>
      <c r="D17" s="17" t="s">
        <v>104</v>
      </c>
      <c r="E17" s="17" t="s">
        <v>105</v>
      </c>
      <c r="F17" s="17" t="s">
        <v>65</v>
      </c>
      <c r="G17" s="18" t="s">
        <v>106</v>
      </c>
    </row>
    <row r="18" customFormat="false" ht="15" hidden="false" customHeight="false" outlineLevel="0" collapsed="false">
      <c r="A18" s="14" t="s">
        <v>44</v>
      </c>
      <c r="B18" s="15" t="s">
        <v>107</v>
      </c>
      <c r="C18" s="16" t="s">
        <v>63</v>
      </c>
      <c r="D18" s="14" t="s">
        <v>104</v>
      </c>
      <c r="E18" s="14" t="s">
        <v>105</v>
      </c>
      <c r="F18" s="14" t="s">
        <v>65</v>
      </c>
      <c r="G18" s="15" t="s">
        <v>108</v>
      </c>
    </row>
    <row r="19" customFormat="false" ht="15" hidden="false" customHeight="false" outlineLevel="0" collapsed="false">
      <c r="A19" s="17" t="s">
        <v>44</v>
      </c>
      <c r="B19" s="18" t="s">
        <v>109</v>
      </c>
      <c r="C19" s="19" t="s">
        <v>110</v>
      </c>
      <c r="D19" s="17" t="s">
        <v>111</v>
      </c>
      <c r="E19" s="17" t="s">
        <v>27</v>
      </c>
      <c r="F19" s="17" t="s">
        <v>65</v>
      </c>
      <c r="G19" s="18" t="s">
        <v>112</v>
      </c>
    </row>
    <row r="20" customFormat="false" ht="15" hidden="false" customHeight="false" outlineLevel="0" collapsed="false">
      <c r="A20" s="14" t="s">
        <v>44</v>
      </c>
      <c r="B20" s="15" t="s">
        <v>113</v>
      </c>
      <c r="C20" s="16" t="s">
        <v>63</v>
      </c>
      <c r="D20" s="14" t="s">
        <v>105</v>
      </c>
      <c r="E20" s="14" t="s">
        <v>114</v>
      </c>
      <c r="F20" s="14" t="s">
        <v>65</v>
      </c>
      <c r="G20" s="15"/>
    </row>
    <row r="21" customFormat="false" ht="15" hidden="false" customHeight="false" outlineLevel="0" collapsed="false">
      <c r="A21" s="17" t="s">
        <v>115</v>
      </c>
      <c r="B21" s="18" t="s">
        <v>116</v>
      </c>
      <c r="C21" s="19" t="s">
        <v>63</v>
      </c>
      <c r="D21" s="17" t="s">
        <v>117</v>
      </c>
      <c r="E21" s="17" t="s">
        <v>27</v>
      </c>
      <c r="F21" s="17" t="s">
        <v>65</v>
      </c>
      <c r="G21" s="18" t="s">
        <v>118</v>
      </c>
    </row>
    <row r="22" customFormat="false" ht="15" hidden="false" customHeight="false" outlineLevel="0" collapsed="false">
      <c r="A22" s="14" t="s">
        <v>115</v>
      </c>
      <c r="B22" s="15" t="s">
        <v>119</v>
      </c>
      <c r="C22" s="16" t="s">
        <v>75</v>
      </c>
      <c r="D22" s="14" t="s">
        <v>120</v>
      </c>
      <c r="E22" s="14" t="s">
        <v>27</v>
      </c>
      <c r="F22" s="14" t="s">
        <v>65</v>
      </c>
      <c r="G22" s="15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122</v>
      </c>
      <c r="D1" s="1" t="s">
        <v>3</v>
      </c>
      <c r="E1" s="1" t="s">
        <v>4</v>
      </c>
      <c r="F1" s="1" t="s">
        <v>123</v>
      </c>
      <c r="G1" s="1" t="s">
        <v>124</v>
      </c>
      <c r="H1" s="1" t="s">
        <v>125</v>
      </c>
      <c r="I1" s="1" t="s">
        <v>126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2" t="n">
        <v>1</v>
      </c>
      <c r="E2" s="4" t="n">
        <v>109</v>
      </c>
      <c r="F2" s="4" t="n">
        <f aca="false">D2*E2</f>
        <v>109</v>
      </c>
      <c r="G2" s="2" t="s">
        <v>127</v>
      </c>
      <c r="H2" s="2" t="s">
        <v>127</v>
      </c>
      <c r="I2" s="3" t="s">
        <v>128</v>
      </c>
    </row>
    <row r="3" customFormat="false" ht="15" hidden="false" customHeight="false" outlineLevel="0" collapsed="false">
      <c r="A3" s="2" t="s">
        <v>7</v>
      </c>
      <c r="B3" s="3" t="s">
        <v>129</v>
      </c>
      <c r="C3" s="3" t="s">
        <v>12</v>
      </c>
      <c r="D3" s="2" t="n">
        <v>2</v>
      </c>
      <c r="E3" s="4" t="n">
        <v>149</v>
      </c>
      <c r="F3" s="4" t="n">
        <f aca="false">D3*E3</f>
        <v>298</v>
      </c>
      <c r="G3" s="2" t="s">
        <v>127</v>
      </c>
      <c r="H3" s="2" t="s">
        <v>127</v>
      </c>
      <c r="I3" s="3" t="s">
        <v>130</v>
      </c>
    </row>
    <row r="4" customFormat="false" ht="15" hidden="false" customHeight="false" outlineLevel="0" collapsed="false">
      <c r="A4" s="2" t="s">
        <v>7</v>
      </c>
      <c r="B4" s="3" t="s">
        <v>14</v>
      </c>
      <c r="C4" s="3" t="s">
        <v>15</v>
      </c>
      <c r="D4" s="2" t="n">
        <v>1</v>
      </c>
      <c r="E4" s="4" t="n">
        <v>299</v>
      </c>
      <c r="F4" s="4" t="n">
        <f aca="false">D4*E4</f>
        <v>299</v>
      </c>
      <c r="G4" s="2" t="s">
        <v>127</v>
      </c>
      <c r="H4" s="2" t="s">
        <v>127</v>
      </c>
      <c r="I4" s="3" t="s">
        <v>128</v>
      </c>
    </row>
    <row r="5" customFormat="false" ht="15" hidden="false" customHeight="false" outlineLevel="0" collapsed="false">
      <c r="A5" s="2" t="s">
        <v>7</v>
      </c>
      <c r="B5" s="3" t="s">
        <v>131</v>
      </c>
      <c r="C5" s="3" t="s">
        <v>18</v>
      </c>
      <c r="D5" s="2" t="n">
        <v>4</v>
      </c>
      <c r="E5" s="4" t="n">
        <v>149</v>
      </c>
      <c r="F5" s="4" t="n">
        <f aca="false">D5*E5</f>
        <v>596</v>
      </c>
      <c r="G5" s="2" t="s">
        <v>127</v>
      </c>
      <c r="H5" s="2" t="s">
        <v>127</v>
      </c>
      <c r="I5" s="3" t="s">
        <v>132</v>
      </c>
    </row>
    <row r="6" customFormat="false" ht="15" hidden="false" customHeight="false" outlineLevel="0" collapsed="false">
      <c r="A6" s="2" t="s">
        <v>7</v>
      </c>
      <c r="B6" s="3" t="s">
        <v>133</v>
      </c>
      <c r="C6" s="3" t="s">
        <v>21</v>
      </c>
      <c r="D6" s="2" t="n">
        <v>2</v>
      </c>
      <c r="E6" s="4" t="n">
        <v>119</v>
      </c>
      <c r="F6" s="4" t="n">
        <f aca="false">D6*E6</f>
        <v>238</v>
      </c>
      <c r="G6" s="2" t="s">
        <v>127</v>
      </c>
      <c r="H6" s="2" t="s">
        <v>127</v>
      </c>
      <c r="I6" s="3" t="s">
        <v>134</v>
      </c>
    </row>
    <row r="7" customFormat="false" ht="15" hidden="false" customHeight="false" outlineLevel="0" collapsed="false">
      <c r="A7" s="8" t="s">
        <v>30</v>
      </c>
      <c r="B7" s="9" t="s">
        <v>135</v>
      </c>
      <c r="C7" s="9" t="s">
        <v>32</v>
      </c>
      <c r="D7" s="8" t="n">
        <v>2</v>
      </c>
      <c r="E7" s="10" t="n">
        <v>149</v>
      </c>
      <c r="F7" s="10" t="n">
        <f aca="false">D7*E7</f>
        <v>298</v>
      </c>
      <c r="G7" s="8" t="s">
        <v>127</v>
      </c>
      <c r="H7" s="8" t="s">
        <v>127</v>
      </c>
      <c r="I7" s="9" t="s">
        <v>136</v>
      </c>
    </row>
    <row r="8" customFormat="false" ht="15" hidden="false" customHeight="false" outlineLevel="0" collapsed="false">
      <c r="A8" s="8" t="s">
        <v>30</v>
      </c>
      <c r="B8" s="9" t="s">
        <v>34</v>
      </c>
      <c r="C8" s="9" t="s">
        <v>35</v>
      </c>
      <c r="D8" s="8" t="n">
        <v>1</v>
      </c>
      <c r="E8" s="10" t="n">
        <v>99</v>
      </c>
      <c r="F8" s="10" t="n">
        <f aca="false">D8*E8</f>
        <v>99</v>
      </c>
      <c r="G8" s="8" t="s">
        <v>127</v>
      </c>
      <c r="H8" s="8" t="s">
        <v>127</v>
      </c>
      <c r="I8" s="9" t="s">
        <v>128</v>
      </c>
    </row>
    <row r="9" customFormat="false" ht="15" hidden="false" customHeight="false" outlineLevel="0" collapsed="false">
      <c r="A9" s="8" t="s">
        <v>30</v>
      </c>
      <c r="B9" s="9" t="s">
        <v>131</v>
      </c>
      <c r="C9" s="9" t="s">
        <v>18</v>
      </c>
      <c r="D9" s="8" t="n">
        <v>3</v>
      </c>
      <c r="E9" s="10" t="n">
        <v>149</v>
      </c>
      <c r="F9" s="10" t="n">
        <f aca="false">D9*E9</f>
        <v>447</v>
      </c>
      <c r="G9" s="8" t="s">
        <v>127</v>
      </c>
      <c r="H9" s="8" t="s">
        <v>127</v>
      </c>
      <c r="I9" s="9" t="s">
        <v>137</v>
      </c>
    </row>
    <row r="10" customFormat="false" ht="15" hidden="false" customHeight="false" outlineLevel="0" collapsed="false">
      <c r="A10" s="8" t="s">
        <v>30</v>
      </c>
      <c r="B10" s="9" t="s">
        <v>39</v>
      </c>
      <c r="C10" s="9" t="s">
        <v>40</v>
      </c>
      <c r="D10" s="8" t="n">
        <v>1</v>
      </c>
      <c r="E10" s="10" t="n">
        <v>299</v>
      </c>
      <c r="F10" s="10" t="n">
        <f aca="false">D10*E10</f>
        <v>299</v>
      </c>
      <c r="G10" s="8" t="s">
        <v>127</v>
      </c>
      <c r="H10" s="8" t="s">
        <v>127</v>
      </c>
      <c r="I10" s="9" t="s">
        <v>138</v>
      </c>
    </row>
    <row r="11" customFormat="false" ht="15" hidden="false" customHeight="false" outlineLevel="0" collapsed="false">
      <c r="A11" s="2" t="s">
        <v>44</v>
      </c>
      <c r="B11" s="3" t="s">
        <v>135</v>
      </c>
      <c r="C11" s="3" t="s">
        <v>32</v>
      </c>
      <c r="D11" s="2" t="n">
        <v>2</v>
      </c>
      <c r="E11" s="4" t="n">
        <v>149</v>
      </c>
      <c r="F11" s="4" t="n">
        <f aca="false">D11*E11</f>
        <v>298</v>
      </c>
      <c r="G11" s="2" t="s">
        <v>127</v>
      </c>
      <c r="H11" s="2" t="s">
        <v>127</v>
      </c>
      <c r="I11" s="3" t="s">
        <v>139</v>
      </c>
    </row>
    <row r="12" customFormat="false" ht="15" hidden="false" customHeight="false" outlineLevel="0" collapsed="false">
      <c r="A12" s="2" t="s">
        <v>44</v>
      </c>
      <c r="B12" s="3" t="s">
        <v>46</v>
      </c>
      <c r="C12" s="3" t="s">
        <v>47</v>
      </c>
      <c r="D12" s="2" t="n">
        <v>1</v>
      </c>
      <c r="E12" s="4" t="n">
        <v>499</v>
      </c>
      <c r="F12" s="4" t="n">
        <f aca="false">D12*E12</f>
        <v>499</v>
      </c>
      <c r="G12" s="2" t="s">
        <v>127</v>
      </c>
      <c r="H12" s="2" t="s">
        <v>127</v>
      </c>
      <c r="I12" s="3" t="s">
        <v>140</v>
      </c>
    </row>
    <row r="13" customFormat="false" ht="15" hidden="false" customHeight="false" outlineLevel="0" collapsed="false">
      <c r="A13" s="2" t="s">
        <v>44</v>
      </c>
      <c r="B13" s="3" t="s">
        <v>49</v>
      </c>
      <c r="C13" s="3" t="s">
        <v>50</v>
      </c>
      <c r="D13" s="2" t="n">
        <v>2</v>
      </c>
      <c r="E13" s="4" t="n">
        <v>299</v>
      </c>
      <c r="F13" s="4" t="n">
        <f aca="false">D13*E13</f>
        <v>598</v>
      </c>
      <c r="G13" s="2" t="s">
        <v>127</v>
      </c>
      <c r="H13" s="2" t="s">
        <v>127</v>
      </c>
      <c r="I13" s="3" t="s">
        <v>141</v>
      </c>
    </row>
    <row r="14" customFormat="false" ht="15" hidden="false" customHeight="false" outlineLevel="0" collapsed="false">
      <c r="A14" s="23"/>
      <c r="B14" s="23" t="s">
        <v>142</v>
      </c>
      <c r="C14" s="23"/>
      <c r="D14" s="23"/>
      <c r="E14" s="23"/>
      <c r="F14" s="24" t="n">
        <f aca="false">SUM(F2:F13)</f>
        <v>4078</v>
      </c>
      <c r="G14" s="23"/>
      <c r="H14" s="23"/>
      <c r="I14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" t="s">
        <v>143</v>
      </c>
      <c r="B1" s="1" t="s">
        <v>1</v>
      </c>
      <c r="C1" s="1" t="s">
        <v>57</v>
      </c>
      <c r="D1" s="1" t="s">
        <v>144</v>
      </c>
      <c r="E1" s="1" t="s">
        <v>60</v>
      </c>
      <c r="F1" s="1" t="s">
        <v>6</v>
      </c>
    </row>
    <row r="2" customFormat="false" ht="19.5" hidden="false" customHeight="true" outlineLevel="0" collapsed="false">
      <c r="A2" s="2" t="n">
        <v>1</v>
      </c>
      <c r="B2" s="5" t="s">
        <v>145</v>
      </c>
      <c r="C2" s="3" t="s">
        <v>63</v>
      </c>
      <c r="D2" s="3" t="s">
        <v>64</v>
      </c>
      <c r="E2" s="3" t="s">
        <v>146</v>
      </c>
      <c r="F2" s="5" t="s">
        <v>147</v>
      </c>
    </row>
    <row r="3" customFormat="false" ht="19.5" hidden="false" customHeight="true" outlineLevel="0" collapsed="false">
      <c r="A3" s="8" t="n">
        <v>2</v>
      </c>
      <c r="B3" s="11" t="s">
        <v>148</v>
      </c>
      <c r="C3" s="9" t="s">
        <v>63</v>
      </c>
      <c r="D3" s="9" t="s">
        <v>64</v>
      </c>
      <c r="E3" s="9" t="s">
        <v>146</v>
      </c>
      <c r="F3" s="11" t="s">
        <v>149</v>
      </c>
    </row>
    <row r="4" customFormat="false" ht="19.5" hidden="false" customHeight="true" outlineLevel="0" collapsed="false">
      <c r="A4" s="2" t="n">
        <v>3</v>
      </c>
      <c r="B4" s="5" t="s">
        <v>150</v>
      </c>
      <c r="C4" s="3" t="s">
        <v>151</v>
      </c>
      <c r="D4" s="3" t="s">
        <v>64</v>
      </c>
      <c r="E4" s="3" t="s">
        <v>146</v>
      </c>
      <c r="F4" s="5" t="s">
        <v>152</v>
      </c>
    </row>
    <row r="5" customFormat="false" ht="19.5" hidden="false" customHeight="true" outlineLevel="0" collapsed="false">
      <c r="A5" s="8" t="n">
        <v>4</v>
      </c>
      <c r="B5" s="11" t="s">
        <v>153</v>
      </c>
      <c r="C5" s="9" t="s">
        <v>75</v>
      </c>
      <c r="D5" s="9" t="s">
        <v>64</v>
      </c>
      <c r="E5" s="9" t="s">
        <v>146</v>
      </c>
      <c r="F5" s="11" t="s">
        <v>154</v>
      </c>
    </row>
    <row r="6" customFormat="false" ht="19.5" hidden="false" customHeight="true" outlineLevel="0" collapsed="false">
      <c r="A6" s="2" t="n">
        <v>5</v>
      </c>
      <c r="B6" s="5" t="s">
        <v>155</v>
      </c>
      <c r="C6" s="3" t="s">
        <v>63</v>
      </c>
      <c r="D6" s="3" t="s">
        <v>156</v>
      </c>
      <c r="E6" s="3" t="s">
        <v>146</v>
      </c>
      <c r="F6" s="5" t="s">
        <v>157</v>
      </c>
    </row>
    <row r="7" customFormat="false" ht="19.5" hidden="false" customHeight="true" outlineLevel="0" collapsed="false">
      <c r="A7" s="8" t="n">
        <v>6</v>
      </c>
      <c r="B7" s="11" t="s">
        <v>158</v>
      </c>
      <c r="C7" s="9" t="s">
        <v>159</v>
      </c>
      <c r="D7" s="9" t="s">
        <v>160</v>
      </c>
      <c r="E7" s="9" t="s">
        <v>146</v>
      </c>
      <c r="F7" s="11" t="s">
        <v>161</v>
      </c>
    </row>
    <row r="8" customFormat="false" ht="19.5" hidden="false" customHeight="true" outlineLevel="0" collapsed="false">
      <c r="A8" s="2" t="n">
        <v>7</v>
      </c>
      <c r="B8" s="5" t="s">
        <v>162</v>
      </c>
      <c r="C8" s="3" t="s">
        <v>63</v>
      </c>
      <c r="D8" s="3" t="s">
        <v>163</v>
      </c>
      <c r="E8" s="3" t="s">
        <v>65</v>
      </c>
      <c r="F8" s="5" t="s">
        <v>164</v>
      </c>
    </row>
    <row r="9" customFormat="false" ht="19.5" hidden="false" customHeight="true" outlineLevel="0" collapsed="false">
      <c r="A9" s="8" t="n">
        <v>8</v>
      </c>
      <c r="B9" s="11" t="s">
        <v>165</v>
      </c>
      <c r="C9" s="9" t="s">
        <v>63</v>
      </c>
      <c r="D9" s="9" t="s">
        <v>163</v>
      </c>
      <c r="E9" s="9" t="s">
        <v>65</v>
      </c>
      <c r="F9" s="11" t="s">
        <v>166</v>
      </c>
    </row>
    <row r="10" customFormat="false" ht="19.5" hidden="false" customHeight="true" outlineLevel="0" collapsed="false">
      <c r="A10" s="2" t="n">
        <v>9</v>
      </c>
      <c r="B10" s="5" t="s">
        <v>167</v>
      </c>
      <c r="C10" s="3" t="s">
        <v>75</v>
      </c>
      <c r="D10" s="3" t="s">
        <v>168</v>
      </c>
      <c r="E10" s="3" t="s">
        <v>65</v>
      </c>
      <c r="F10" s="5" t="s">
        <v>169</v>
      </c>
    </row>
    <row r="11" customFormat="false" ht="19.5" hidden="false" customHeight="true" outlineLevel="0" collapsed="false">
      <c r="A11" s="8" t="n">
        <v>10</v>
      </c>
      <c r="B11" s="11" t="s">
        <v>170</v>
      </c>
      <c r="C11" s="9" t="s">
        <v>63</v>
      </c>
      <c r="D11" s="9" t="s">
        <v>168</v>
      </c>
      <c r="E11" s="9" t="s">
        <v>65</v>
      </c>
      <c r="F11" s="11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2026-06-06T23:14:23Z</dcterms:created>
  <dc:creator>openpyxl</dc:creator>
  <dc:description/>
  <dc:language>en-US</dc:language>
  <cp:lastModifiedBy/>
  <dcterms:modified xsi:type="dcterms:W3CDTF">2026-06-06T23:14:24Z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